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ectable_obje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<sst xmlns="http://schemas.openxmlformats.org/spreadsheetml/2006/main" count="220" uniqueCount="215">
  <si>
    <t xml:space="preserve">BASE</t>
  </si>
  <si>
    <t xml:space="preserve">FARMING COMPONENT</t>
  </si>
  <si>
    <t xml:space="preserve">ATTACKING COMPONENT</t>
  </si>
  <si>
    <t xml:space="preserve">CRAFTED COMPONENT</t>
  </si>
  <si>
    <t xml:space="preserve">NATURAL RESOURCE COMPONENT</t>
  </si>
  <si>
    <t xml:space="preserve">id</t>
  </si>
  <si>
    <t xml:space="preserve">name</t>
  </si>
  <si>
    <t xml:space="preserve">icon</t>
  </si>
  <si>
    <t xml:space="preserve">weapon_slot</t>
  </si>
  <si>
    <t xml:space="preserve">filtered_type</t>
  </si>
  <si>
    <t xml:space="preserve">featured_type</t>
  </si>
  <si>
    <t xml:space="preserve">max_count</t>
  </si>
  <si>
    <t xml:space="preserve">required_level</t>
  </si>
  <si>
    <t xml:space="preserve">description</t>
  </si>
  <si>
    <t xml:space="preserve">has_farming</t>
  </si>
  <si>
    <t xml:space="preserve">farming_body_type</t>
  </si>
  <si>
    <t xml:space="preserve">farming_growing_body</t>
  </si>
  <si>
    <t xml:space="preserve">farming_default_model_plant</t>
  </si>
  <si>
    <t xml:space="preserve">farming_seed_outer_effect</t>
  </si>
  <si>
    <t xml:space="preserve">farming_whole_outer_effect</t>
  </si>
  <si>
    <t xml:space="preserve">farming_total_growing_time</t>
  </si>
  <si>
    <t xml:space="preserve">farming_total_harvesting_quantity</t>
  </si>
  <si>
    <t xml:space="preserve">farming_watering_time</t>
  </si>
  <si>
    <t xml:space="preserve">has_attacking</t>
  </si>
  <si>
    <t xml:space="preserve">attacking_shooting_handle_type</t>
  </si>
  <si>
    <t xml:space="preserve">attacking_bullet_effect_component</t>
  </si>
  <si>
    <t xml:space="preserve">attacking_zoom_type</t>
  </si>
  <si>
    <t xml:space="preserve">attacking_bullet_object</t>
  </si>
  <si>
    <t xml:space="preserve">attacking_trail_tracer</t>
  </si>
  <si>
    <t xml:space="preserve">attacking_hit_effect_prefab</t>
  </si>
  <si>
    <t xml:space="preserve">attacking_force</t>
  </si>
  <si>
    <t xml:space="preserve">attacking_range</t>
  </si>
  <si>
    <t xml:space="preserve">attacking_fire_rate</t>
  </si>
  <si>
    <t xml:space="preserve">attacking_life_time</t>
  </si>
  <si>
    <t xml:space="preserve">attacking_hit_effect_life_time</t>
  </si>
  <si>
    <t xml:space="preserve">attacking_damage</t>
  </si>
  <si>
    <t xml:space="preserve">attacking_damage_deal_to_specific_enemy</t>
  </si>
  <si>
    <t xml:space="preserve">attacking_reload_speed</t>
  </si>
  <si>
    <t xml:space="preserve">attacking_amplitude_gain_impulse</t>
  </si>
  <si>
    <t xml:space="preserve">attacking_multiplier_recoil_on_aim</t>
  </si>
  <si>
    <t xml:space="preserve">attacking_multiplier_for_ammo</t>
  </si>
  <si>
    <t xml:space="preserve">attacking_bullet_count</t>
  </si>
  <si>
    <t xml:space="preserve">attacking_recoil_pattern</t>
  </si>
  <si>
    <t xml:space="preserve">attacking_bullet_dir_pattern</t>
  </si>
  <si>
    <t xml:space="preserve">has_crafted</t>
  </si>
  <si>
    <t xml:space="preserve">crafted_recipe</t>
  </si>
  <si>
    <t xml:space="preserve">crafted_total_producing_time</t>
  </si>
  <si>
    <t xml:space="preserve">crafted_cost</t>
  </si>
  <si>
    <t xml:space="preserve">has_natural</t>
  </si>
  <si>
    <t xml:space="preserve">natural_durability_modifier</t>
  </si>
  <si>
    <t xml:space="preserve">natural_max_amount</t>
  </si>
  <si>
    <t xml:space="preserve">natural_max_durability</t>
  </si>
  <si>
    <t xml:space="preserve">natural_recover_time</t>
  </si>
  <si>
    <t xml:space="preserve">natural_collect_time</t>
  </si>
  <si>
    <t xml:space="preserve">natural_description</t>
  </si>
  <si>
    <t xml:space="preserve">ammo_holding</t>
  </si>
  <si>
    <t xml:space="preserve">capacity</t>
  </si>
  <si>
    <t xml:space="preserve">farming_harvest_qty_min</t>
  </si>
  <si>
    <t xml:space="preserve">farming_harvest_qty_max</t>
  </si>
  <si>
    <t xml:space="preserve">farming_harvest_max_times</t>
  </si>
  <si>
    <t xml:space="preserve">  # weapon_slot: None=-1 | AttackGun=0 | HandGun=1 | AxieCollector=2</t>
  </si>
  <si>
    <t xml:space="preserve">  # filtered_type: Crop=0 | FarmingProduct=1 | NaturalResource=2 | Power=3 | Water=4 | Fertilizer=5</t>
  </si>
  <si>
    <t xml:space="preserve">  # featured_type: None=-1 | Product=1 | Normal=2</t>
  </si>
  <si>
    <t xml:space="preserve">  # farming_body_type: None=-1 | Tree=0 | Vegetable=1 | Climbing=2</t>
  </si>
  <si>
    <t xml:space="preserve">  # attacking_shooting_handle_type: None=-1 | Raycast=0 | InstantiateBullet=1 | Both=2</t>
  </si>
  <si>
    <t xml:space="preserve">  # attacking_bullet_effect_component: None=-1 | PlaceHole=0 | InstantiateTrail=1 | Both=2</t>
  </si>
  <si>
    <t xml:space="preserve">  # attacking_zoom_type: NoZoom=0 | CanZoom=1 | HasScope=2</t>
  </si>
  <si>
    <t xml:space="preserve">  # attacking_recoil_pattern format: (x,y);(x,y)  e.g. (0.1,0.2);(0.3,-0.1)</t>
  </si>
  <si>
    <t xml:space="preserve">  # attacking_bullet_dir_pattern format: (x,y,z);(x,y,z)  e.g. (0,0,1);(0.1,0,0.9)</t>
  </si>
  <si>
    <t xml:space="preserve">berry</t>
  </si>
  <si>
    <t xml:space="preserve">Berry</t>
  </si>
  <si>
    <t xml:space="preserve">fruits/berry/icon</t>
  </si>
  <si>
    <t xml:space="preserve">A small berry that can be fired as rapid AR rounds or crafted into Frost Bottle.</t>
  </si>
  <si>
    <t xml:space="preserve">fruits/berry/model_grow</t>
  </si>
  <si>
    <t xml:space="preserve">fruits/berry/model_plant</t>
  </si>
  <si>
    <t xml:space="preserve">fruits/berry/seed_vfx</t>
  </si>
  <si>
    <t xml:space="preserve">fruits/berry/whole_vfx</t>
  </si>
  <si>
    <t xml:space="preserve">fruits/berry/bullet</t>
  </si>
  <si>
    <t xml:space="preserve">fruits/berry/trail</t>
  </si>
  <si>
    <t xml:space="preserve">fruits/berry/hit_effect</t>
  </si>
  <si>
    <t xml:space="preserve">(0.8,1.2);(0.7,1.3);(0.9,0.8);(0.6,1.1);(1.0,0.9)</t>
  </si>
  <si>
    <t xml:space="preserve">wheat</t>
  </si>
  <si>
    <t xml:space="preserve">Wheat</t>
  </si>
  <si>
    <t xml:space="preserve">fruits/wheat/icon</t>
  </si>
  <si>
    <t xml:space="preserve">A bundle of wheat. 1 harvest = 1 bundle (3 units). Use as SMG ammo or craft Flour.</t>
  </si>
  <si>
    <t xml:space="preserve">fruits/wheat/model_grow</t>
  </si>
  <si>
    <t xml:space="preserve">fruits/wheat/model_plant</t>
  </si>
  <si>
    <t xml:space="preserve">fruits/wheat/seed_vfx</t>
  </si>
  <si>
    <t xml:space="preserve">fruits/wheat/whole_vfx</t>
  </si>
  <si>
    <t xml:space="preserve">fruits/wheat/hit_effect</t>
  </si>
  <si>
    <t xml:space="preserve">sugar_cane</t>
  </si>
  <si>
    <t xml:space="preserve">Sugar Cane</t>
  </si>
  <si>
    <t xml:space="preserve">fruits/sugar_cane/icon</t>
  </si>
  <si>
    <t xml:space="preserve">A bundle of sugar cane. 1 harvest = 1 bundle (3 units). Craft into Sugar.</t>
  </si>
  <si>
    <t xml:space="preserve">fruits/sugar_cane/model_grow</t>
  </si>
  <si>
    <t xml:space="preserve">fruits/sugar_cane/model_plant</t>
  </si>
  <si>
    <t xml:space="preserve">fruits/sugar_cane/seed_vfx</t>
  </si>
  <si>
    <t xml:space="preserve">fruits/sugar_cane/whole_vfx</t>
  </si>
  <si>
    <t xml:space="preserve">tomato</t>
  </si>
  <si>
    <t xml:space="preserve">Tomato</t>
  </si>
  <si>
    <t xml:space="preserve">fruits/tomato/icon</t>
  </si>
  <si>
    <t xml:space="preserve">Shotgun fruit. 5 simultaneous raycast pellets. Short range, high burst damage.</t>
  </si>
  <si>
    <t xml:space="preserve">fruits/tomato/model_grow</t>
  </si>
  <si>
    <t xml:space="preserve">fruits/tomato/model_plant</t>
  </si>
  <si>
    <t xml:space="preserve">fruits/tomato/seed_vfx</t>
  </si>
  <si>
    <t xml:space="preserve">fruits/tomato/whole_vfx</t>
  </si>
  <si>
    <t xml:space="preserve">fruits/tomato/hit_effect</t>
  </si>
  <si>
    <t xml:space="preserve">(0,0,1);(-0.15,0.05,0.98);(0.15,0.05,0.98);(-0.08,-0.06,0.99);(0.08,-0.06,0.99)</t>
  </si>
  <si>
    <t xml:space="preserve">carambola</t>
  </si>
  <si>
    <t xml:space="preserve">Carambola</t>
  </si>
  <si>
    <t xml:space="preserve">fruits/carambola/icon</t>
  </si>
  <si>
    <t xml:space="preserve">Star fruit sniper. High damage, slow fire rate, long range. Has scope zoom.</t>
  </si>
  <si>
    <t xml:space="preserve">fruits/carambola/model_grow</t>
  </si>
  <si>
    <t xml:space="preserve">fruits/carambola/model_plant</t>
  </si>
  <si>
    <t xml:space="preserve">fruits/carambola/seed_vfx</t>
  </si>
  <si>
    <t xml:space="preserve">fruits/carambola/whole_vfx</t>
  </si>
  <si>
    <t xml:space="preserve">fruits/carambola/bullet</t>
  </si>
  <si>
    <t xml:space="preserve">fruits/carambola/trail</t>
  </si>
  <si>
    <t xml:space="preserve">fruits/carambola/hit_effect</t>
  </si>
  <si>
    <t xml:space="preserve">(0.3,0.4)</t>
  </si>
  <si>
    <t xml:space="preserve">chili</t>
  </si>
  <si>
    <t xml:space="preserve">Chili</t>
  </si>
  <si>
    <t xml:space="preserve">fruits/chili/icon</t>
  </si>
  <si>
    <t xml:space="preserve">Flamethrower pepper. Continuous fire projectile stream. DoT fire damage.</t>
  </si>
  <si>
    <t xml:space="preserve">fruits/chili/model_grow</t>
  </si>
  <si>
    <t xml:space="preserve">fruits/chili/model_plant</t>
  </si>
  <si>
    <t xml:space="preserve">fruits/chili/seed_vfx</t>
  </si>
  <si>
    <t xml:space="preserve">fruits/chili/whole_vfx</t>
  </si>
  <si>
    <t xml:space="preserve">fruits/chili/bullet</t>
  </si>
  <si>
    <t xml:space="preserve">fruits/chili/trail</t>
  </si>
  <si>
    <t xml:space="preserve">fruits/chili/hit_effect</t>
  </si>
  <si>
    <t xml:space="preserve">apple</t>
  </si>
  <si>
    <t xml:space="preserve">Apple</t>
  </si>
  <si>
    <t xml:space="preserve">fruits/apple/icon</t>
  </si>
  <si>
    <t xml:space="preserve">Grenade launcher apple. Instantiated projectile with arc trajectory. AoE explosion on impact.</t>
  </si>
  <si>
    <t xml:space="preserve">fruits/apple/model_grow</t>
  </si>
  <si>
    <t xml:space="preserve">fruits/apple/model_plant</t>
  </si>
  <si>
    <t xml:space="preserve">fruits/apple/seed_vfx</t>
  </si>
  <si>
    <t xml:space="preserve">fruits/apple/whole_vfx</t>
  </si>
  <si>
    <t xml:space="preserve">fruits/apple/bullet</t>
  </si>
  <si>
    <t xml:space="preserve">fruits/apple/trail</t>
  </si>
  <si>
    <t xml:space="preserve">fruits/apple/hit_effect</t>
  </si>
  <si>
    <t xml:space="preserve">pepper</t>
  </si>
  <si>
    <t xml:space="preserve">Pepper</t>
  </si>
  <si>
    <t xml:space="preserve">fruits/pepper/icon</t>
  </si>
  <si>
    <t xml:space="preserve">Toxic grenade pepper. Instantiated arc projectile. Releases poison cloud AoE on impact.</t>
  </si>
  <si>
    <t xml:space="preserve">fruits/pepper/model_grow</t>
  </si>
  <si>
    <t xml:space="preserve">fruits/pepper/model_plant</t>
  </si>
  <si>
    <t xml:space="preserve">fruits/pepper/seed_vfx</t>
  </si>
  <si>
    <t xml:space="preserve">fruits/pepper/whole_vfx</t>
  </si>
  <si>
    <t xml:space="preserve">fruits/pepper/bullet</t>
  </si>
  <si>
    <t xml:space="preserve">fruits/pepper/trail</t>
  </si>
  <si>
    <t xml:space="preserve">fruits/pepper/hit_effect</t>
  </si>
  <si>
    <t xml:space="preserve">durian</t>
  </si>
  <si>
    <t xml:space="preserve">Durian</t>
  </si>
  <si>
    <t xml:space="preserve">fruits/durian/icon</t>
  </si>
  <si>
    <t xml:space="preserve">[WIP] Durian bomb. Heavy AoE instantiate projectile. Pairs with Miasma Bottle.</t>
  </si>
  <si>
    <t xml:space="preserve">fruits/durian/model_grow</t>
  </si>
  <si>
    <t xml:space="preserve">fruits/durian/model_plant</t>
  </si>
  <si>
    <t xml:space="preserve">fruits/durian/seed_vfx</t>
  </si>
  <si>
    <t xml:space="preserve">fruits/durian/whole_vfx</t>
  </si>
  <si>
    <t xml:space="preserve">fruits/durian/bullet</t>
  </si>
  <si>
    <t xml:space="preserve">fruits/durian/trail</t>
  </si>
  <si>
    <t xml:space="preserve">fruits/durian/hit_effect</t>
  </si>
  <si>
    <t xml:space="preserve">noni_fruit</t>
  </si>
  <si>
    <t xml:space="preserve">Noni Fruit</t>
  </si>
  <si>
    <t xml:space="preserve">fruits/noni_fruit/icon</t>
  </si>
  <si>
    <t xml:space="preserve">[WIP] Noni corrosion bomb. Instantiate arc projectile. Pairs with Corrosion Bottle.</t>
  </si>
  <si>
    <t xml:space="preserve">fruits/noni_fruit/model_grow</t>
  </si>
  <si>
    <t xml:space="preserve">fruits/noni_fruit/model_plant</t>
  </si>
  <si>
    <t xml:space="preserve">fruits/noni_fruit/seed_vfx</t>
  </si>
  <si>
    <t xml:space="preserve">fruits/noni_fruit/whole_vfx</t>
  </si>
  <si>
    <t xml:space="preserve">fruits/noni_fruit/bullet</t>
  </si>
  <si>
    <t xml:space="preserve">fruits/noni_fruit/trail</t>
  </si>
  <si>
    <t xml:space="preserve">fruits/noni_fruit/hit_effect</t>
  </si>
  <si>
    <t xml:space="preserve">NOTES &amp; DESIGN DECISIONS</t>
  </si>
  <si>
    <t xml:space="preserve">ADDRESSABLE KEY PATTERN</t>
  </si>
  <si>
    <t xml:space="preserve">  Pattern: fruits/{id}/{asset_type}</t>
  </si>
  <si>
    <t xml:space="preserve">  asset_type values used in this sheet:</t>
  </si>
  <si>
    <t xml:space="preserve">    icon         → Texture2D sprite (Addressable key, loaded by UI &amp; inventory)</t>
  </si>
  <si>
    <t xml:space="preserve">    model_grow   → FBX prefab for growing-stage plant body (farming_growing_body)</t>
  </si>
  <si>
    <t xml:space="preserve">    model_plant  → FBX prefab for default/mature plant (farming_default_model_plant)</t>
  </si>
  <si>
    <t xml:space="preserve">    bullet       → GameObject prefab — instantiated projectile (attacking_bullet_object)</t>
  </si>
  <si>
    <t xml:space="preserve">    trail        → VFX GameObject — bullet trail effect (attacking_trail_tracer)</t>
  </si>
  <si>
    <t xml:space="preserve">    hit_effect   → VFX GameObject — on-hit impact effect (attacking_hit_effect_prefab)</t>
  </si>
  <si>
    <t xml:space="preserve">    seed_vfx     → VFX — seed planting particle (farming_seed_outer_effect)</t>
  </si>
  <si>
    <t xml:space="preserve">    whole_vfx    → VFX — full-grown plant glow/aura (farming_whole_outer_effect)</t>
  </si>
  <si>
    <t xml:space="preserve">  Examples: fruits/berry/icon | fruits/tomato/bullet | fruits/apple/hit_effect</t>
  </si>
  <si>
    <t xml:space="preserve">  This pattern is compatible with Unity Addressables label grouping:</t>
  </si>
  <si>
    <t xml:space="preserve">    Group label: 'fruits' | Sub-label: '{id}' | Asset label: '{asset_type}'</t>
  </si>
  <si>
    <t xml:space="preserve">  Recommended Unity Addressable group: one group per fruit, shared VFX (seed/whole) can be in 'shared_vfx' group.</t>
  </si>
  <si>
    <t xml:space="preserve">FIELD NOTES — ATTACKING</t>
  </si>
  <si>
    <t xml:space="preserve">  attacking_recoil_pattern: format (x,y);(x,y) — each pair = recoil kick per shot fired sequentially.</t>
  </si>
  <si>
    <t xml:space="preserve">    Berry (AR): 5-step pattern — loops when mag cycling. Wheat/Tomato/Chili/Apple/Pepper/Durian/Noni: EMPTY (no pattern).</t>
  </si>
  <si>
    <t xml:space="preserve">    Carambola (Sniper): single (x,y) — one heavy kick per shot.</t>
  </si>
  <si>
    <t xml:space="preserve">  attacking_bullet_dir_pattern: format (x,y,z);... — normalized direction vectors per pellet.</t>
  </si>
  <si>
    <t xml:space="preserve">    Tomato (Shotgun): 5 spread vectors defining pellet directions. Other weapons: EMPTY (single forward).</t>
  </si>
  <si>
    <t xml:space="preserve">  attacking_range: only used by Raycast. Ignored when shootingHandleType=InstantiateBullet (range = force × lifeTime).</t>
  </si>
  <si>
    <t xml:space="preserve">  attacking_life_time: only meaningful for InstantiateBullet — determines arc/projectile travel distance.</t>
  </si>
  <si>
    <t xml:space="preserve">  attacking_multiplier_for_ammo: feeds animator.SetFloat('multiplier', value) — controls anim speed only, not damage.</t>
  </si>
  <si>
    <t xml:space="preserve">  attacking_damage_deal_to_specific_enemy: not implemented yet — will be refactored. Leave as 0.</t>
  </si>
  <si>
    <t xml:space="preserve">FIELD NOTES — FARMING</t>
  </si>
  <si>
    <t xml:space="preserve">  farming_total_harvesting_quantity (col 17): set to 999 as placeholder. Real split is in cols 53-55.</t>
  </si>
  <si>
    <t xml:space="preserve">  farming_harvest_qty_min / max (cols 53-54): min-max items yielded per single harvest event. [PROPOSED — pending refactor]</t>
  </si>
  <si>
    <t xml:space="preserve">  farming_harvest_max_times (col 55): total number of harvest events before plant dies. [PROPOSED — pending refactor]</t>
  </si>
  <si>
    <t xml:space="preserve">  farming_watering_time: currently = number of watering events required. Will be refactored to actual time.</t>
  </si>
  <si>
    <t xml:space="preserve">  farming_total_growing_time: in seconds (in-game). 1 in-game day ≈ 1440s. Berry=600s≈7min real | Apple=2400s≈27min real.</t>
  </si>
  <si>
    <t xml:space="preserve">  sugar_cane weapon_slot=-1: no weapon slot assigned — this item is farming-only (not usable as ammo).</t>
  </si>
  <si>
    <t xml:space="preserve">FIELD NOTES — NEW COLS (51-55)</t>
  </si>
  <si>
    <t xml:space="preserve">  ammo_holding (col 51): magazine size — shots before reload. Added to CollectableObjectStat.</t>
  </si>
  <si>
    <t xml:space="preserve">  capacity (col 52): max stack in Refinery storage (not Backpack). Backpack limit = max_count (col 7). Added to CollectableObjectStat.</t>
  </si>
  <si>
    <t xml:space="preserve">  cols 53-55: proposed split of farming_total_harvesting_quantity into (min, max, times). Needs code refactor before use.</t>
  </si>
  <si>
    <t xml:space="preserve">WIP ITEMS</t>
  </si>
  <si>
    <t xml:space="preserve">  durian / noni_fruit: stats are placeholders. Weapon type (damage, fire_rate, AoE radius) to be confirmed by design.</t>
  </si>
  <si>
    <t xml:space="preserve">  beetroot: not included — was mentioned as farming-only similar to sugar_cane. Add when stat confirmed.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</si>
</sst>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9"/>
      <name val="Consolas"/>
      <family val="0"/>
      <charset val="1"/>
    </font>
    <font>
      <i val="true"/>
      <sz val="9"/>
      <color rgb="FF1F4E79"/>
      <name val="Consolas"/>
      <family val="0"/>
      <charset val="1"/>
    </font>
    <font>
      <i val="true"/>
      <sz val="9"/>
      <color rgb="FF444444"/>
      <name val="Consolas"/>
      <family val="0"/>
      <charset val="1"/>
    </font>
    <font>
      <i val="true"/>
      <sz val="9"/>
      <color rgb="FF375623"/>
      <name val="Consolas"/>
      <family val="0"/>
      <charset val="1"/>
    </font>
    <font>
      <i val="true"/>
      <sz val="9"/>
      <color rgb="FF666666"/>
      <name val="Consolas"/>
      <family val="0"/>
      <charset val="1"/>
    </font>
    <font>
      <i val="true"/>
      <sz val="9"/>
      <color rgb="FF000000"/>
      <name val="Consolas"/>
      <family val="0"/>
      <charset val="1"/>
    </font>
    <font>
      <i val="true"/>
      <sz val="9"/>
      <color rgb="FF7B2C2C"/>
      <name val="Consolas"/>
      <family val="0"/>
      <charset val="1"/>
    </font>
    <font>
      <i val="true"/>
      <sz val="9"/>
      <color rgb="FFAA6600"/>
      <name val="Consolas"/>
      <family val="0"/>
      <charset val="1"/>
    </font>
    <font>
      <i val="true"/>
      <sz val="9"/>
      <color rgb="FF6B4C11"/>
      <name val="Consolas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3B3B7B"/>
      </patternFill>
    </fill>
    <fill>
      <patternFill patternType="solid">
        <fgColor rgb="FF375623"/>
        <bgColor rgb="FF444444"/>
      </patternFill>
    </fill>
    <fill>
      <patternFill patternType="solid">
        <fgColor rgb="FF7B2C2C"/>
        <bgColor rgb="FF993366"/>
      </patternFill>
    </fill>
    <fill>
      <patternFill patternType="solid">
        <fgColor rgb="FF6B4C11"/>
        <bgColor rgb="FF555555"/>
      </patternFill>
    </fill>
    <fill>
      <patternFill patternType="solid">
        <fgColor rgb="FF3B3B7B"/>
        <bgColor rgb="FF444444"/>
      </patternFill>
    </fill>
    <fill>
      <patternFill patternType="solid">
        <fgColor rgb="FFF5F5F5"/>
        <bgColor rgb="FFFFF8F8"/>
      </patternFill>
    </fill>
    <fill>
      <patternFill patternType="solid">
        <fgColor rgb="FFDDEEFF"/>
        <bgColor rgb="FFEAF4FF"/>
      </patternFill>
    </fill>
    <fill>
      <patternFill patternType="solid">
        <fgColor rgb="FFD6E4F7"/>
        <bgColor rgb="FFDDEEFF"/>
      </patternFill>
    </fill>
    <fill>
      <patternFill patternType="solid">
        <fgColor rgb="FFEAF4FF"/>
        <bgColor rgb="FFF5F5F5"/>
      </patternFill>
    </fill>
    <fill>
      <patternFill patternType="solid">
        <fgColor rgb="FFFFFFFF"/>
        <bgColor rgb="FFF8FFF8"/>
      </patternFill>
    </fill>
    <fill>
      <patternFill patternType="solid">
        <fgColor rgb="FFFFF0F0"/>
        <bgColor rgb="FFFFF0E0"/>
      </patternFill>
    </fill>
    <fill>
      <patternFill patternType="solid">
        <fgColor rgb="FFFFF8F8"/>
        <bgColor rgb="FFFFFFFF"/>
      </patternFill>
    </fill>
    <fill>
      <patternFill patternType="solid">
        <fgColor rgb="FFF0FFF0"/>
        <bgColor rgb="FFF8FFF8"/>
      </patternFill>
    </fill>
    <fill>
      <patternFill patternType="solid">
        <fgColor rgb="FFF8FFF8"/>
        <bgColor rgb="FFFFFFFF"/>
      </patternFill>
    </fill>
    <fill>
      <patternFill patternType="solid">
        <fgColor rgb="FFFFF0E0"/>
        <bgColor rgb="FFFFF0F0"/>
      </patternFill>
    </fill>
    <fill>
      <patternFill patternType="solid">
        <fgColor rgb="FFFFF8E0"/>
        <bgColor rgb="FFFFF0E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A6600"/>
      <rgbColor rgb="FF800080"/>
      <rgbColor rgb="FF008080"/>
      <rgbColor rgb="FFCCCCCC"/>
      <rgbColor rgb="FF555555"/>
      <rgbColor rgb="FF9999FF"/>
      <rgbColor rgb="FF6B4C11"/>
      <rgbColor rgb="FFFFF8E0"/>
      <rgbColor rgb="FFDDEE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F"/>
      <rgbColor rgb="FFF0FFF0"/>
      <rgbColor rgb="FFFFF0E0"/>
      <rgbColor rgb="FFF5F5F5"/>
      <rgbColor rgb="FFFFF8F8"/>
      <rgbColor rgb="FFF8FFF8"/>
      <rgbColor rgb="FFFFF0F0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4E79"/>
      <rgbColor rgb="FF339966"/>
      <rgbColor rgb="FF003300"/>
      <rgbColor rgb="FF375623"/>
      <rgbColor rgb="FF7B2C2C"/>
      <rgbColor rgb="FF993366"/>
      <rgbColor rgb="FF3B3B7B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5" min="12" style="0" width="35"/>
    <col collapsed="false" customWidth="true" hidden="false" outlineLevel="0" max="16" min="16" style="0" width="22"/>
    <col collapsed="false" customWidth="true" hidden="false" outlineLevel="0" max="17" min="17" style="0" width="28"/>
    <col collapsed="false" customWidth="true" hidden="false" outlineLevel="0" max="18" min="18" style="0" width="20"/>
    <col collapsed="false" customWidth="true" hidden="false" outlineLevel="0" max="19" min="19" style="0" width="14"/>
    <col collapsed="false" customWidth="true" hidden="false" outlineLevel="0" max="20" min="20" style="0" width="26"/>
    <col collapsed="false" customWidth="true" hidden="false" outlineLevel="0" max="21" min="21" style="0" width="28"/>
    <col collapsed="false" customWidth="true" hidden="false" outlineLevel="0" max="22" min="22" style="0" width="18"/>
    <col collapsed="false" customWidth="true" hidden="false" outlineLevel="0" max="25" min="23" style="0" width="35"/>
    <col collapsed="false" customWidth="true" hidden="false" outlineLevel="0" max="29" min="26" style="0" width="14"/>
    <col collapsed="false" customWidth="true" hidden="false" outlineLevel="0" max="30" min="30" style="0" width="24"/>
    <col collapsed="false" customWidth="true" hidden="false" outlineLevel="0" max="31" min="31" style="0" width="14"/>
    <col collapsed="false" customWidth="true" hidden="false" outlineLevel="0" max="32" min="32" style="0" width="30"/>
    <col collapsed="false" customWidth="true" hidden="false" outlineLevel="0" max="33" min="33" style="0" width="16"/>
    <col collapsed="false" customWidth="true" hidden="false" outlineLevel="0" max="35" min="34" style="0" width="26"/>
    <col collapsed="false" customWidth="true" hidden="false" outlineLevel="0" max="36" min="36" style="0" width="22"/>
    <col collapsed="false" customWidth="true" hidden="false" outlineLevel="0" max="37" min="37" style="0" width="16"/>
    <col collapsed="false" customWidth="true" hidden="false" outlineLevel="0" max="39" min="38" style="0" width="35"/>
    <col collapsed="false" customWidth="true" hidden="false" outlineLevel="0" max="40" min="40" style="0" width="13"/>
    <col collapsed="false" customWidth="true" hidden="false" outlineLevel="0" max="41" min="41" style="0" width="35"/>
    <col collapsed="false" customWidth="true" hidden="false" outlineLevel="0" max="42" min="42" style="0" width="24"/>
    <col collapsed="false" customWidth="true" hidden="false" outlineLevel="0" max="43" min="43" style="0" width="14"/>
    <col collapsed="false" customWidth="true" hidden="false" outlineLevel="0" max="44" min="44" style="0" width="13"/>
    <col collapsed="false" customWidth="true" hidden="false" outlineLevel="0" max="45" min="45" style="0" width="24"/>
    <col collapsed="false" customWidth="true" hidden="false" outlineLevel="0" max="46" min="46" style="0" width="18"/>
    <col collapsed="false" customWidth="true" hidden="false" outlineLevel="0" max="47" min="47" style="0" width="20"/>
    <col collapsed="false" customWidth="true" hidden="false" outlineLevel="0" max="49" min="48" style="0" width="18"/>
    <col collapsed="false" customWidth="true" hidden="false" outlineLevel="0" max="50" min="50" style="0" width="35"/>
    <col collapsed="false" customWidth="true" hidden="false" outlineLevel="0" max="55" min="51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2"/>
      <c r="M1" s="2"/>
      <c r="N1" s="2"/>
      <c r="O1" s="2"/>
      <c r="P1" s="2"/>
      <c r="Q1" s="2"/>
      <c r="R1" s="2"/>
      <c r="S1" s="3" t="s">
        <v>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 t="s">
        <v>3</v>
      </c>
      <c r="AO1" s="4"/>
      <c r="AP1" s="4"/>
      <c r="AQ1" s="4"/>
      <c r="AR1" s="5" t="s">
        <v>4</v>
      </c>
      <c r="AS1" s="5"/>
      <c r="AT1" s="5"/>
      <c r="AU1" s="5"/>
      <c r="AV1" s="5"/>
      <c r="AW1" s="5"/>
      <c r="AX1" s="5"/>
      <c r="AY1" s="1" t="s">
        <v>0</v>
      </c>
      <c r="AZ1" s="1" t="s">
        <v>0</v>
      </c>
      <c r="BA1" s="2" t="s">
        <v>1</v>
      </c>
      <c r="BB1" s="2" t="s">
        <v>1</v>
      </c>
      <c r="BC1" s="2" t="s">
        <v>1</v>
      </c>
    </row>
    <row r="2" customFormat="false" ht="31.5" hidden="false" customHeight="true" outlineLevel="0" collapsed="false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8" t="s">
        <v>28</v>
      </c>
      <c r="Y2" s="8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8" t="s">
        <v>40</v>
      </c>
      <c r="AK2" s="8" t="s">
        <v>41</v>
      </c>
      <c r="AL2" s="8" t="s">
        <v>42</v>
      </c>
      <c r="AM2" s="8" t="s">
        <v>43</v>
      </c>
      <c r="AN2" s="9" t="s">
        <v>44</v>
      </c>
      <c r="AO2" s="9" t="s">
        <v>45</v>
      </c>
      <c r="AP2" s="9" t="s">
        <v>46</v>
      </c>
      <c r="AQ2" s="9" t="s">
        <v>47</v>
      </c>
      <c r="AR2" s="10" t="s">
        <v>48</v>
      </c>
      <c r="AS2" s="10" t="s">
        <v>49</v>
      </c>
      <c r="AT2" s="10" t="s">
        <v>50</v>
      </c>
      <c r="AU2" s="10" t="s">
        <v>51</v>
      </c>
      <c r="AV2" s="10" t="s">
        <v>52</v>
      </c>
      <c r="AW2" s="10" t="s">
        <v>53</v>
      </c>
      <c r="AX2" s="10" t="s">
        <v>54</v>
      </c>
      <c r="AY2" s="6" t="s">
        <v>55</v>
      </c>
      <c r="AZ2" s="6" t="s">
        <v>56</v>
      </c>
      <c r="BA2" s="6" t="s">
        <v>57</v>
      </c>
      <c r="BB2" s="6" t="s">
        <v>58</v>
      </c>
      <c r="BC2" s="6" t="s">
        <v>59</v>
      </c>
    </row>
    <row r="3" customFormat="false" ht="15" hidden="false" customHeight="true" outlineLevel="0" collapsed="false">
      <c r="A3" s="11" t="s">
        <v>60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customFormat="false" ht="15" hidden="false" customHeight="true" outlineLevel="0" collapsed="false">
      <c r="A4" s="11" t="s">
        <v>61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customFormat="false" ht="15" hidden="false" customHeight="true" outlineLevel="0" collapsed="false">
      <c r="A5" s="11" t="s">
        <v>62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customFormat="false" ht="15" hidden="false" customHeight="true" outlineLevel="0" collapsed="false">
      <c r="A6" s="11" t="s">
        <v>63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customFormat="false" ht="15" hidden="false" customHeight="true" outlineLevel="0" collapsed="false">
      <c r="A7" s="11" t="s">
        <v>64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customFormat="false" ht="15" hidden="false" customHeight="true" outlineLevel="0" collapsed="false">
      <c r="A8" s="11" t="s">
        <v>65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customFormat="false" ht="15" hidden="false" customHeight="true" outlineLevel="0" collapsed="false">
      <c r="A9" s="11" t="s">
        <v>66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customFormat="false" ht="15" hidden="false" customHeight="true" outlineLevel="0" collapsed="false">
      <c r="A10" s="11" t="s">
        <v>67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customFormat="false" ht="15" hidden="false" customHeight="true" outlineLevel="0" collapsed="false">
      <c r="A11" s="11" t="s">
        <v>68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customFormat="false" ht="19.5" hidden="false" customHeight="true" outlineLevel="0" collapsed="false">
      <c r="A12" s="12" t="s">
        <v>69</v>
      </c>
      <c r="B12" s="12" t="s">
        <v>70</v>
      </c>
      <c r="C12" s="12" t="s">
        <v>71</v>
      </c>
      <c r="D12" s="12" t="n">
        <v>0</v>
      </c>
      <c r="E12" s="12" t="n">
        <v>0</v>
      </c>
      <c r="F12" s="12" t="n">
        <v>2</v>
      </c>
      <c r="G12" s="12" t="n">
        <v>60</v>
      </c>
      <c r="H12" s="12" t="n">
        <v>1</v>
      </c>
      <c r="I12" s="13" t="s">
        <v>72</v>
      </c>
      <c r="J12" s="14" t="b">
        <f aca="false">TRUE()</f>
        <v>1</v>
      </c>
      <c r="K12" s="12" t="n">
        <v>1</v>
      </c>
      <c r="L12" s="12" t="s">
        <v>73</v>
      </c>
      <c r="M12" s="12" t="s">
        <v>74</v>
      </c>
      <c r="N12" s="12" t="s">
        <v>75</v>
      </c>
      <c r="O12" s="12" t="s">
        <v>76</v>
      </c>
      <c r="P12" s="12" t="n">
        <v>600</v>
      </c>
      <c r="Q12" s="12" t="n">
        <v>999</v>
      </c>
      <c r="R12" s="12" t="n">
        <v>2</v>
      </c>
      <c r="S12" s="14" t="b">
        <f aca="false">TRUE()</f>
        <v>1</v>
      </c>
      <c r="T12" s="12" t="n">
        <v>2</v>
      </c>
      <c r="U12" s="12" t="n">
        <v>1</v>
      </c>
      <c r="V12" s="12" t="n">
        <v>0</v>
      </c>
      <c r="W12" s="12" t="s">
        <v>77</v>
      </c>
      <c r="X12" s="12" t="s">
        <v>78</v>
      </c>
      <c r="Y12" s="12" t="s">
        <v>79</v>
      </c>
      <c r="Z12" s="12" t="n">
        <v>18</v>
      </c>
      <c r="AA12" s="12" t="n">
        <v>25</v>
      </c>
      <c r="AB12" s="12" t="n">
        <v>6</v>
      </c>
      <c r="AC12" s="12" t="n">
        <v>1.2</v>
      </c>
      <c r="AD12" s="12" t="n">
        <v>0.25</v>
      </c>
      <c r="AE12" s="12" t="n">
        <v>12</v>
      </c>
      <c r="AF12" s="12" t="n">
        <v>0</v>
      </c>
      <c r="AG12" s="12" t="n">
        <v>1.8</v>
      </c>
      <c r="AH12" s="12" t="n">
        <v>0.15</v>
      </c>
      <c r="AI12" s="12" t="n">
        <v>0.6</v>
      </c>
      <c r="AJ12" s="12" t="n">
        <v>1</v>
      </c>
      <c r="AK12" s="12" t="n">
        <v>1</v>
      </c>
      <c r="AL12" s="12" t="s">
        <v>80</v>
      </c>
      <c r="AM12" s="12"/>
      <c r="AN12" s="14" t="b">
        <f aca="false">FALSE()</f>
        <v>0</v>
      </c>
      <c r="AO12" s="12"/>
      <c r="AP12" s="12" t="n">
        <v>0</v>
      </c>
      <c r="AQ12" s="12" t="n">
        <v>0</v>
      </c>
      <c r="AR12" s="14" t="b">
        <f aca="false">FALSE()</f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5"/>
      <c r="AY12" s="12" t="n">
        <v>30</v>
      </c>
      <c r="AZ12" s="12" t="n">
        <v>9999</v>
      </c>
      <c r="BA12" s="12" t="n">
        <v>1</v>
      </c>
      <c r="BB12" s="12" t="n">
        <v>2</v>
      </c>
      <c r="BC12" s="12" t="n">
        <v>3</v>
      </c>
    </row>
    <row r="13" customFormat="false" ht="19.5" hidden="false" customHeight="true" outlineLevel="0" collapsed="false">
      <c r="A13" s="12" t="s">
        <v>81</v>
      </c>
      <c r="B13" s="12" t="s">
        <v>82</v>
      </c>
      <c r="C13" s="12" t="s">
        <v>83</v>
      </c>
      <c r="D13" s="12" t="n">
        <v>0</v>
      </c>
      <c r="E13" s="12" t="n">
        <v>0</v>
      </c>
      <c r="F13" s="12" t="n">
        <v>2</v>
      </c>
      <c r="G13" s="12" t="n">
        <v>120</v>
      </c>
      <c r="H13" s="12" t="n">
        <v>1</v>
      </c>
      <c r="I13" s="13" t="s">
        <v>84</v>
      </c>
      <c r="J13" s="14" t="b">
        <f aca="false">TRUE()</f>
        <v>1</v>
      </c>
      <c r="K13" s="12" t="n">
        <v>2</v>
      </c>
      <c r="L13" s="12" t="s">
        <v>85</v>
      </c>
      <c r="M13" s="12" t="s">
        <v>86</v>
      </c>
      <c r="N13" s="12" t="s">
        <v>87</v>
      </c>
      <c r="O13" s="12" t="s">
        <v>88</v>
      </c>
      <c r="P13" s="12" t="n">
        <v>720</v>
      </c>
      <c r="Q13" s="12" t="n">
        <v>999</v>
      </c>
      <c r="R13" s="12" t="n">
        <v>1</v>
      </c>
      <c r="S13" s="14" t="b">
        <f aca="false">TRUE()</f>
        <v>1</v>
      </c>
      <c r="T13" s="12" t="n">
        <v>0</v>
      </c>
      <c r="U13" s="12" t="n">
        <v>0</v>
      </c>
      <c r="V13" s="12" t="n">
        <v>0</v>
      </c>
      <c r="W13" s="12"/>
      <c r="X13" s="12"/>
      <c r="Y13" s="12" t="s">
        <v>89</v>
      </c>
      <c r="Z13" s="12" t="n">
        <v>0</v>
      </c>
      <c r="AA13" s="12" t="n">
        <v>20</v>
      </c>
      <c r="AB13" s="12" t="n">
        <v>10</v>
      </c>
      <c r="AC13" s="12" t="n">
        <v>0</v>
      </c>
      <c r="AD13" s="12" t="n">
        <v>0.15</v>
      </c>
      <c r="AE13" s="12" t="n">
        <v>8</v>
      </c>
      <c r="AF13" s="12" t="n">
        <v>0</v>
      </c>
      <c r="AG13" s="12" t="n">
        <v>2.2</v>
      </c>
      <c r="AH13" s="12" t="n">
        <v>0.08</v>
      </c>
      <c r="AI13" s="12" t="n">
        <v>0.4</v>
      </c>
      <c r="AJ13" s="12" t="n">
        <v>1.4</v>
      </c>
      <c r="AK13" s="12" t="n">
        <v>1</v>
      </c>
      <c r="AL13" s="12"/>
      <c r="AM13" s="12"/>
      <c r="AN13" s="14" t="b">
        <f aca="false">FALSE()</f>
        <v>0</v>
      </c>
      <c r="AO13" s="12"/>
      <c r="AP13" s="12" t="n">
        <v>0</v>
      </c>
      <c r="AQ13" s="12" t="n">
        <v>0</v>
      </c>
      <c r="AR13" s="14" t="b">
        <f aca="false">FALSE()</f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5"/>
      <c r="AY13" s="12" t="n">
        <v>45</v>
      </c>
      <c r="AZ13" s="12" t="n">
        <v>9999</v>
      </c>
      <c r="BA13" s="12" t="n">
        <v>1</v>
      </c>
      <c r="BB13" s="12" t="n">
        <v>1</v>
      </c>
      <c r="BC13" s="12" t="n">
        <v>1</v>
      </c>
    </row>
    <row r="14" customFormat="false" ht="19.5" hidden="false" customHeight="true" outlineLevel="0" collapsed="false">
      <c r="A14" s="12" t="s">
        <v>90</v>
      </c>
      <c r="B14" s="12" t="s">
        <v>91</v>
      </c>
      <c r="C14" s="12" t="s">
        <v>92</v>
      </c>
      <c r="D14" s="12" t="n">
        <v>-1</v>
      </c>
      <c r="E14" s="12" t="n">
        <v>0</v>
      </c>
      <c r="F14" s="12" t="n">
        <v>2</v>
      </c>
      <c r="G14" s="12" t="n">
        <v>120</v>
      </c>
      <c r="H14" s="12" t="n">
        <v>1</v>
      </c>
      <c r="I14" s="13" t="s">
        <v>93</v>
      </c>
      <c r="J14" s="14" t="b">
        <f aca="false">TRUE()</f>
        <v>1</v>
      </c>
      <c r="K14" s="12" t="n">
        <v>2</v>
      </c>
      <c r="L14" s="12" t="s">
        <v>94</v>
      </c>
      <c r="M14" s="12" t="s">
        <v>95</v>
      </c>
      <c r="N14" s="12" t="s">
        <v>96</v>
      </c>
      <c r="O14" s="12" t="s">
        <v>97</v>
      </c>
      <c r="P14" s="12" t="n">
        <v>900</v>
      </c>
      <c r="Q14" s="12" t="n">
        <v>999</v>
      </c>
      <c r="R14" s="12" t="n">
        <v>1</v>
      </c>
      <c r="S14" s="14" t="b">
        <f aca="false">FALSE()</f>
        <v>0</v>
      </c>
      <c r="T14" s="12" t="n">
        <v>-1</v>
      </c>
      <c r="U14" s="12" t="n">
        <v>-1</v>
      </c>
      <c r="V14" s="12" t="n">
        <v>0</v>
      </c>
      <c r="W14" s="12"/>
      <c r="X14" s="12"/>
      <c r="Y14" s="12"/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1</v>
      </c>
      <c r="AL14" s="12"/>
      <c r="AM14" s="12"/>
      <c r="AN14" s="14" t="b">
        <f aca="false">FALSE()</f>
        <v>0</v>
      </c>
      <c r="AO14" s="12"/>
      <c r="AP14" s="12" t="n">
        <v>0</v>
      </c>
      <c r="AQ14" s="12" t="n">
        <v>0</v>
      </c>
      <c r="AR14" s="14" t="b">
        <f aca="false">FALSE()</f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5"/>
      <c r="AY14" s="12" t="n">
        <v>0</v>
      </c>
      <c r="AZ14" s="12" t="n">
        <v>9999</v>
      </c>
      <c r="BA14" s="12" t="n">
        <v>1</v>
      </c>
      <c r="BB14" s="12" t="n">
        <v>1</v>
      </c>
      <c r="BC14" s="12" t="n">
        <v>1</v>
      </c>
    </row>
    <row r="15" customFormat="false" ht="19.5" hidden="false" customHeight="true" outlineLevel="0" collapsed="false">
      <c r="A15" s="12" t="s">
        <v>98</v>
      </c>
      <c r="B15" s="12" t="s">
        <v>99</v>
      </c>
      <c r="C15" s="12" t="s">
        <v>100</v>
      </c>
      <c r="D15" s="12" t="n">
        <v>0</v>
      </c>
      <c r="E15" s="12" t="n">
        <v>0</v>
      </c>
      <c r="F15" s="12" t="n">
        <v>2</v>
      </c>
      <c r="G15" s="12" t="n">
        <v>30</v>
      </c>
      <c r="H15" s="12" t="n">
        <v>1</v>
      </c>
      <c r="I15" s="13" t="s">
        <v>101</v>
      </c>
      <c r="J15" s="14" t="b">
        <f aca="false">TRUE()</f>
        <v>1</v>
      </c>
      <c r="K15" s="12" t="n">
        <v>1</v>
      </c>
      <c r="L15" s="12" t="s">
        <v>102</v>
      </c>
      <c r="M15" s="12" t="s">
        <v>103</v>
      </c>
      <c r="N15" s="12" t="s">
        <v>104</v>
      </c>
      <c r="O15" s="12" t="s">
        <v>105</v>
      </c>
      <c r="P15" s="12" t="n">
        <v>900</v>
      </c>
      <c r="Q15" s="12" t="n">
        <v>999</v>
      </c>
      <c r="R15" s="12" t="n">
        <v>2</v>
      </c>
      <c r="S15" s="14" t="b">
        <f aca="false">TRUE()</f>
        <v>1</v>
      </c>
      <c r="T15" s="12" t="n">
        <v>0</v>
      </c>
      <c r="U15" s="12" t="n">
        <v>0</v>
      </c>
      <c r="V15" s="12" t="n">
        <v>0</v>
      </c>
      <c r="W15" s="12"/>
      <c r="X15" s="12"/>
      <c r="Y15" s="12" t="s">
        <v>106</v>
      </c>
      <c r="Z15" s="12" t="n">
        <v>0</v>
      </c>
      <c r="AA15" s="12" t="n">
        <v>12</v>
      </c>
      <c r="AB15" s="12" t="n">
        <v>1.2</v>
      </c>
      <c r="AC15" s="12" t="n">
        <v>0</v>
      </c>
      <c r="AD15" s="12" t="n">
        <v>0.3</v>
      </c>
      <c r="AE15" s="12" t="n">
        <v>18</v>
      </c>
      <c r="AF15" s="12" t="n">
        <v>0</v>
      </c>
      <c r="AG15" s="12" t="n">
        <v>2.5</v>
      </c>
      <c r="AH15" s="12" t="n">
        <v>0.45</v>
      </c>
      <c r="AI15" s="12" t="n">
        <v>0.5</v>
      </c>
      <c r="AJ15" s="12" t="n">
        <v>0.9</v>
      </c>
      <c r="AK15" s="12" t="n">
        <v>5</v>
      </c>
      <c r="AL15" s="12"/>
      <c r="AM15" s="12" t="s">
        <v>107</v>
      </c>
      <c r="AN15" s="14" t="b">
        <f aca="false">FALSE()</f>
        <v>0</v>
      </c>
      <c r="AO15" s="12"/>
      <c r="AP15" s="12" t="n">
        <v>0</v>
      </c>
      <c r="AQ15" s="12" t="n">
        <v>0</v>
      </c>
      <c r="AR15" s="14" t="b">
        <f aca="false">FALSE()</f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5"/>
      <c r="AY15" s="12" t="n">
        <v>8</v>
      </c>
      <c r="AZ15" s="12" t="n">
        <v>9999</v>
      </c>
      <c r="BA15" s="12" t="n">
        <v>1</v>
      </c>
      <c r="BB15" s="12" t="n">
        <v>2</v>
      </c>
      <c r="BC15" s="12" t="n">
        <v>4</v>
      </c>
    </row>
    <row r="16" customFormat="false" ht="19.5" hidden="false" customHeight="true" outlineLevel="0" collapsed="false">
      <c r="A16" s="12" t="s">
        <v>108</v>
      </c>
      <c r="B16" s="12" t="s">
        <v>109</v>
      </c>
      <c r="C16" s="12" t="s">
        <v>110</v>
      </c>
      <c r="D16" s="12" t="n">
        <v>0</v>
      </c>
      <c r="E16" s="12" t="n">
        <v>0</v>
      </c>
      <c r="F16" s="12" t="n">
        <v>2</v>
      </c>
      <c r="G16" s="12" t="n">
        <v>20</v>
      </c>
      <c r="H16" s="12" t="n">
        <v>1</v>
      </c>
      <c r="I16" s="13" t="s">
        <v>111</v>
      </c>
      <c r="J16" s="14" t="b">
        <f aca="false">TRUE()</f>
        <v>1</v>
      </c>
      <c r="K16" s="12" t="n">
        <v>0</v>
      </c>
      <c r="L16" s="12" t="s">
        <v>112</v>
      </c>
      <c r="M16" s="12" t="s">
        <v>113</v>
      </c>
      <c r="N16" s="12" t="s">
        <v>114</v>
      </c>
      <c r="O16" s="12" t="s">
        <v>115</v>
      </c>
      <c r="P16" s="12" t="n">
        <v>1800</v>
      </c>
      <c r="Q16" s="12" t="n">
        <v>999</v>
      </c>
      <c r="R16" s="12" t="n">
        <v>3</v>
      </c>
      <c r="S16" s="14" t="b">
        <f aca="false">TRUE()</f>
        <v>1</v>
      </c>
      <c r="T16" s="12" t="n">
        <v>2</v>
      </c>
      <c r="U16" s="12" t="n">
        <v>1</v>
      </c>
      <c r="V16" s="12" t="n">
        <v>2</v>
      </c>
      <c r="W16" s="12" t="s">
        <v>116</v>
      </c>
      <c r="X16" s="12" t="s">
        <v>117</v>
      </c>
      <c r="Y16" s="12" t="s">
        <v>118</v>
      </c>
      <c r="Z16" s="12" t="n">
        <v>30</v>
      </c>
      <c r="AA16" s="12" t="n">
        <v>80</v>
      </c>
      <c r="AB16" s="12" t="n">
        <v>0.5</v>
      </c>
      <c r="AC16" s="12" t="n">
        <v>2.5</v>
      </c>
      <c r="AD16" s="12" t="n">
        <v>0.5</v>
      </c>
      <c r="AE16" s="12" t="n">
        <v>85</v>
      </c>
      <c r="AF16" s="12" t="n">
        <v>0</v>
      </c>
      <c r="AG16" s="12" t="n">
        <v>3.5</v>
      </c>
      <c r="AH16" s="12" t="n">
        <v>0.6</v>
      </c>
      <c r="AI16" s="12" t="n">
        <v>0.2</v>
      </c>
      <c r="AJ16" s="12" t="n">
        <v>0.6</v>
      </c>
      <c r="AK16" s="12" t="n">
        <v>1</v>
      </c>
      <c r="AL16" s="12" t="s">
        <v>119</v>
      </c>
      <c r="AM16" s="12"/>
      <c r="AN16" s="14" t="b">
        <f aca="false">FALSE()</f>
        <v>0</v>
      </c>
      <c r="AO16" s="12"/>
      <c r="AP16" s="12" t="n">
        <v>0</v>
      </c>
      <c r="AQ16" s="12" t="n">
        <v>0</v>
      </c>
      <c r="AR16" s="14" t="b">
        <f aca="false">FALSE()</f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5"/>
      <c r="AY16" s="12" t="n">
        <v>10</v>
      </c>
      <c r="AZ16" s="12" t="n">
        <v>9999</v>
      </c>
      <c r="BA16" s="12" t="n">
        <v>1</v>
      </c>
      <c r="BB16" s="12" t="n">
        <v>1</v>
      </c>
      <c r="BC16" s="12" t="n">
        <v>6</v>
      </c>
    </row>
    <row r="17" customFormat="false" ht="19.5" hidden="false" customHeight="true" outlineLevel="0" collapsed="false">
      <c r="A17" s="12" t="s">
        <v>120</v>
      </c>
      <c r="B17" s="12" t="s">
        <v>121</v>
      </c>
      <c r="C17" s="12" t="s">
        <v>122</v>
      </c>
      <c r="D17" s="12" t="n">
        <v>0</v>
      </c>
      <c r="E17" s="12" t="n">
        <v>0</v>
      </c>
      <c r="F17" s="12" t="n">
        <v>2</v>
      </c>
      <c r="G17" s="12" t="n">
        <v>80</v>
      </c>
      <c r="H17" s="12" t="n">
        <v>1</v>
      </c>
      <c r="I17" s="13" t="s">
        <v>123</v>
      </c>
      <c r="J17" s="14" t="b">
        <f aca="false">TRUE()</f>
        <v>1</v>
      </c>
      <c r="K17" s="12" t="n">
        <v>1</v>
      </c>
      <c r="L17" s="12" t="s">
        <v>124</v>
      </c>
      <c r="M17" s="12" t="s">
        <v>125</v>
      </c>
      <c r="N17" s="12" t="s">
        <v>126</v>
      </c>
      <c r="O17" s="12" t="s">
        <v>127</v>
      </c>
      <c r="P17" s="12" t="n">
        <v>1200</v>
      </c>
      <c r="Q17" s="12" t="n">
        <v>999</v>
      </c>
      <c r="R17" s="12" t="n">
        <v>2</v>
      </c>
      <c r="S17" s="14" t="b">
        <f aca="false">TRUE()</f>
        <v>1</v>
      </c>
      <c r="T17" s="12" t="n">
        <v>1</v>
      </c>
      <c r="U17" s="12" t="n">
        <v>2</v>
      </c>
      <c r="V17" s="12" t="n">
        <v>0</v>
      </c>
      <c r="W17" s="12" t="s">
        <v>128</v>
      </c>
      <c r="X17" s="12" t="s">
        <v>129</v>
      </c>
      <c r="Y17" s="12" t="s">
        <v>130</v>
      </c>
      <c r="Z17" s="12" t="n">
        <v>8</v>
      </c>
      <c r="AA17" s="12" t="n">
        <v>0</v>
      </c>
      <c r="AB17" s="12" t="n">
        <v>12</v>
      </c>
      <c r="AC17" s="12" t="n">
        <v>0.4</v>
      </c>
      <c r="AD17" s="12" t="n">
        <v>0.15</v>
      </c>
      <c r="AE17" s="12" t="n">
        <v>5</v>
      </c>
      <c r="AF17" s="12" t="n">
        <v>0</v>
      </c>
      <c r="AG17" s="12" t="n">
        <v>2</v>
      </c>
      <c r="AH17" s="12" t="n">
        <v>0.1</v>
      </c>
      <c r="AI17" s="12" t="n">
        <v>0.7</v>
      </c>
      <c r="AJ17" s="12" t="n">
        <v>1.6</v>
      </c>
      <c r="AK17" s="12" t="n">
        <v>1</v>
      </c>
      <c r="AL17" s="12"/>
      <c r="AM17" s="12"/>
      <c r="AN17" s="14" t="b">
        <f aca="false">FALSE()</f>
        <v>0</v>
      </c>
      <c r="AO17" s="12"/>
      <c r="AP17" s="12" t="n">
        <v>0</v>
      </c>
      <c r="AQ17" s="12" t="n">
        <v>0</v>
      </c>
      <c r="AR17" s="14" t="b">
        <f aca="false">FALSE()</f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5"/>
      <c r="AY17" s="12" t="n">
        <v>60</v>
      </c>
      <c r="AZ17" s="12" t="n">
        <v>9999</v>
      </c>
      <c r="BA17" s="12" t="n">
        <v>1</v>
      </c>
      <c r="BB17" s="12" t="n">
        <v>2</v>
      </c>
      <c r="BC17" s="12" t="n">
        <v>3</v>
      </c>
    </row>
    <row r="18" customFormat="false" ht="19.5" hidden="false" customHeight="true" outlineLevel="0" collapsed="false">
      <c r="A18" s="12" t="s">
        <v>131</v>
      </c>
      <c r="B18" s="12" t="s">
        <v>132</v>
      </c>
      <c r="C18" s="12" t="s">
        <v>133</v>
      </c>
      <c r="D18" s="12" t="n">
        <v>0</v>
      </c>
      <c r="E18" s="12" t="n">
        <v>0</v>
      </c>
      <c r="F18" s="12" t="n">
        <v>2</v>
      </c>
      <c r="G18" s="12" t="n">
        <v>20</v>
      </c>
      <c r="H18" s="12" t="n">
        <v>1</v>
      </c>
      <c r="I18" s="13" t="s">
        <v>134</v>
      </c>
      <c r="J18" s="14" t="b">
        <f aca="false">TRUE()</f>
        <v>1</v>
      </c>
      <c r="K18" s="12" t="n">
        <v>0</v>
      </c>
      <c r="L18" s="12" t="s">
        <v>135</v>
      </c>
      <c r="M18" s="12" t="s">
        <v>136</v>
      </c>
      <c r="N18" s="12" t="s">
        <v>137</v>
      </c>
      <c r="O18" s="12" t="s">
        <v>138</v>
      </c>
      <c r="P18" s="12" t="n">
        <v>2400</v>
      </c>
      <c r="Q18" s="12" t="n">
        <v>999</v>
      </c>
      <c r="R18" s="12" t="n">
        <v>3</v>
      </c>
      <c r="S18" s="14" t="b">
        <f aca="false">TRUE()</f>
        <v>1</v>
      </c>
      <c r="T18" s="12" t="n">
        <v>1</v>
      </c>
      <c r="U18" s="12" t="n">
        <v>1</v>
      </c>
      <c r="V18" s="12" t="n">
        <v>0</v>
      </c>
      <c r="W18" s="12" t="s">
        <v>139</v>
      </c>
      <c r="X18" s="12" t="s">
        <v>140</v>
      </c>
      <c r="Y18" s="12" t="s">
        <v>141</v>
      </c>
      <c r="Z18" s="12" t="n">
        <v>15</v>
      </c>
      <c r="AA18" s="12" t="n">
        <v>0</v>
      </c>
      <c r="AB18" s="12" t="n">
        <v>0.8</v>
      </c>
      <c r="AC18" s="12" t="n">
        <v>3</v>
      </c>
      <c r="AD18" s="12" t="n">
        <v>1</v>
      </c>
      <c r="AE18" s="12" t="n">
        <v>60</v>
      </c>
      <c r="AF18" s="12" t="n">
        <v>0</v>
      </c>
      <c r="AG18" s="12" t="n">
        <v>2.8</v>
      </c>
      <c r="AH18" s="12" t="n">
        <v>0.7</v>
      </c>
      <c r="AI18" s="12" t="n">
        <v>0.3</v>
      </c>
      <c r="AJ18" s="12" t="n">
        <v>0.7</v>
      </c>
      <c r="AK18" s="12" t="n">
        <v>1</v>
      </c>
      <c r="AL18" s="12"/>
      <c r="AM18" s="12"/>
      <c r="AN18" s="14" t="b">
        <f aca="false">FALSE()</f>
        <v>0</v>
      </c>
      <c r="AO18" s="12"/>
      <c r="AP18" s="12" t="n">
        <v>0</v>
      </c>
      <c r="AQ18" s="12" t="n">
        <v>0</v>
      </c>
      <c r="AR18" s="14" t="b">
        <f aca="false">FALSE()</f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5"/>
      <c r="AY18" s="12" t="n">
        <v>6</v>
      </c>
      <c r="AZ18" s="12" t="n">
        <v>9999</v>
      </c>
      <c r="BA18" s="12" t="n">
        <v>1</v>
      </c>
      <c r="BB18" s="12" t="n">
        <v>2</v>
      </c>
      <c r="BC18" s="12" t="n">
        <v>5</v>
      </c>
    </row>
    <row r="19" customFormat="false" ht="19.5" hidden="false" customHeight="true" outlineLevel="0" collapsed="false">
      <c r="A19" s="12" t="s">
        <v>142</v>
      </c>
      <c r="B19" s="12" t="s">
        <v>143</v>
      </c>
      <c r="C19" s="12" t="s">
        <v>144</v>
      </c>
      <c r="D19" s="12" t="n">
        <v>0</v>
      </c>
      <c r="E19" s="12" t="n">
        <v>0</v>
      </c>
      <c r="F19" s="12" t="n">
        <v>2</v>
      </c>
      <c r="G19" s="12" t="n">
        <v>20</v>
      </c>
      <c r="H19" s="12" t="n">
        <v>1</v>
      </c>
      <c r="I19" s="13" t="s">
        <v>145</v>
      </c>
      <c r="J19" s="14" t="b">
        <f aca="false">TRUE()</f>
        <v>1</v>
      </c>
      <c r="K19" s="12" t="n">
        <v>1</v>
      </c>
      <c r="L19" s="12" t="s">
        <v>146</v>
      </c>
      <c r="M19" s="12" t="s">
        <v>147</v>
      </c>
      <c r="N19" s="12" t="s">
        <v>148</v>
      </c>
      <c r="O19" s="12" t="s">
        <v>149</v>
      </c>
      <c r="P19" s="12" t="n">
        <v>1500</v>
      </c>
      <c r="Q19" s="12" t="n">
        <v>999</v>
      </c>
      <c r="R19" s="12" t="n">
        <v>2</v>
      </c>
      <c r="S19" s="14" t="b">
        <f aca="false">TRUE()</f>
        <v>1</v>
      </c>
      <c r="T19" s="12" t="n">
        <v>1</v>
      </c>
      <c r="U19" s="12" t="n">
        <v>1</v>
      </c>
      <c r="V19" s="12" t="n">
        <v>0</v>
      </c>
      <c r="W19" s="12" t="s">
        <v>150</v>
      </c>
      <c r="X19" s="12" t="s">
        <v>151</v>
      </c>
      <c r="Y19" s="12" t="s">
        <v>152</v>
      </c>
      <c r="Z19" s="12" t="n">
        <v>14</v>
      </c>
      <c r="AA19" s="12" t="n">
        <v>0</v>
      </c>
      <c r="AB19" s="12" t="n">
        <v>0.7</v>
      </c>
      <c r="AC19" s="12" t="n">
        <v>3.2</v>
      </c>
      <c r="AD19" s="12" t="n">
        <v>1</v>
      </c>
      <c r="AE19" s="12" t="n">
        <v>45</v>
      </c>
      <c r="AF19" s="12" t="n">
        <v>0</v>
      </c>
      <c r="AG19" s="12" t="n">
        <v>3</v>
      </c>
      <c r="AH19" s="12" t="n">
        <v>0.65</v>
      </c>
      <c r="AI19" s="12" t="n">
        <v>0.3</v>
      </c>
      <c r="AJ19" s="12" t="n">
        <v>0.7</v>
      </c>
      <c r="AK19" s="12" t="n">
        <v>1</v>
      </c>
      <c r="AL19" s="12"/>
      <c r="AM19" s="12"/>
      <c r="AN19" s="14" t="b">
        <f aca="false">FALSE()</f>
        <v>0</v>
      </c>
      <c r="AO19" s="12"/>
      <c r="AP19" s="12" t="n">
        <v>0</v>
      </c>
      <c r="AQ19" s="12" t="n">
        <v>0</v>
      </c>
      <c r="AR19" s="14" t="b">
        <f aca="false">FALSE()</f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5"/>
      <c r="AY19" s="12" t="n">
        <v>6</v>
      </c>
      <c r="AZ19" s="12" t="n">
        <v>9999</v>
      </c>
      <c r="BA19" s="12" t="n">
        <v>1</v>
      </c>
      <c r="BB19" s="12" t="n">
        <v>2</v>
      </c>
      <c r="BC19" s="12" t="n">
        <v>4</v>
      </c>
    </row>
    <row r="20" customFormat="false" ht="19.5" hidden="false" customHeight="true" outlineLevel="0" collapsed="false">
      <c r="A20" s="12" t="s">
        <v>153</v>
      </c>
      <c r="B20" s="12" t="s">
        <v>154</v>
      </c>
      <c r="C20" s="12" t="s">
        <v>155</v>
      </c>
      <c r="D20" s="12" t="n">
        <v>0</v>
      </c>
      <c r="E20" s="12" t="n">
        <v>0</v>
      </c>
      <c r="F20" s="12" t="n">
        <v>2</v>
      </c>
      <c r="G20" s="12" t="n">
        <v>15</v>
      </c>
      <c r="H20" s="12" t="n">
        <v>1</v>
      </c>
      <c r="I20" s="13" t="s">
        <v>156</v>
      </c>
      <c r="J20" s="14" t="b">
        <f aca="false">TRUE()</f>
        <v>1</v>
      </c>
      <c r="K20" s="12" t="n">
        <v>0</v>
      </c>
      <c r="L20" s="12" t="s">
        <v>157</v>
      </c>
      <c r="M20" s="12" t="s">
        <v>158</v>
      </c>
      <c r="N20" s="12" t="s">
        <v>159</v>
      </c>
      <c r="O20" s="12" t="s">
        <v>160</v>
      </c>
      <c r="P20" s="12" t="n">
        <v>3000</v>
      </c>
      <c r="Q20" s="12" t="n">
        <v>999</v>
      </c>
      <c r="R20" s="12" t="n">
        <v>4</v>
      </c>
      <c r="S20" s="14" t="b">
        <f aca="false">TRUE()</f>
        <v>1</v>
      </c>
      <c r="T20" s="12" t="n">
        <v>1</v>
      </c>
      <c r="U20" s="12" t="n">
        <v>1</v>
      </c>
      <c r="V20" s="12" t="n">
        <v>0</v>
      </c>
      <c r="W20" s="12" t="s">
        <v>161</v>
      </c>
      <c r="X20" s="12" t="s">
        <v>162</v>
      </c>
      <c r="Y20" s="12" t="s">
        <v>163</v>
      </c>
      <c r="Z20" s="12" t="n">
        <v>20</v>
      </c>
      <c r="AA20" s="12" t="n">
        <v>0</v>
      </c>
      <c r="AB20" s="12" t="n">
        <v>0.6</v>
      </c>
      <c r="AC20" s="12" t="n">
        <v>3.5</v>
      </c>
      <c r="AD20" s="12" t="n">
        <v>1</v>
      </c>
      <c r="AE20" s="12" t="n">
        <v>100</v>
      </c>
      <c r="AF20" s="12" t="n">
        <v>0</v>
      </c>
      <c r="AG20" s="12" t="n">
        <v>3.5</v>
      </c>
      <c r="AH20" s="12" t="n">
        <v>0.8</v>
      </c>
      <c r="AI20" s="12" t="n">
        <v>0.25</v>
      </c>
      <c r="AJ20" s="12" t="n">
        <v>0.65</v>
      </c>
      <c r="AK20" s="12" t="n">
        <v>1</v>
      </c>
      <c r="AL20" s="12"/>
      <c r="AM20" s="12"/>
      <c r="AN20" s="14" t="b">
        <f aca="false">FALSE()</f>
        <v>0</v>
      </c>
      <c r="AO20" s="12"/>
      <c r="AP20" s="12" t="n">
        <v>0</v>
      </c>
      <c r="AQ20" s="12" t="n">
        <v>0</v>
      </c>
      <c r="AR20" s="14" t="b">
        <f aca="false">FALSE()</f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5"/>
      <c r="AY20" s="12" t="n">
        <v>5</v>
      </c>
      <c r="AZ20" s="12" t="n">
        <v>9999</v>
      </c>
      <c r="BA20" s="12" t="n">
        <v>1</v>
      </c>
      <c r="BB20" s="12" t="n">
        <v>2</v>
      </c>
      <c r="BC20" s="12" t="n">
        <v>4</v>
      </c>
    </row>
    <row r="21" customFormat="false" ht="19.5" hidden="false" customHeight="true" outlineLevel="0" collapsed="false">
      <c r="A21" s="12" t="s">
        <v>164</v>
      </c>
      <c r="B21" s="12" t="s">
        <v>165</v>
      </c>
      <c r="C21" s="12" t="s">
        <v>166</v>
      </c>
      <c r="D21" s="12" t="n">
        <v>0</v>
      </c>
      <c r="E21" s="12" t="n">
        <v>0</v>
      </c>
      <c r="F21" s="12" t="n">
        <v>2</v>
      </c>
      <c r="G21" s="12" t="n">
        <v>15</v>
      </c>
      <c r="H21" s="12" t="n">
        <v>1</v>
      </c>
      <c r="I21" s="13" t="s">
        <v>167</v>
      </c>
      <c r="J21" s="14" t="b">
        <f aca="false">TRUE()</f>
        <v>1</v>
      </c>
      <c r="K21" s="12" t="n">
        <v>0</v>
      </c>
      <c r="L21" s="12" t="s">
        <v>168</v>
      </c>
      <c r="M21" s="12" t="s">
        <v>169</v>
      </c>
      <c r="N21" s="12" t="s">
        <v>170</v>
      </c>
      <c r="O21" s="12" t="s">
        <v>171</v>
      </c>
      <c r="P21" s="12" t="n">
        <v>2700</v>
      </c>
      <c r="Q21" s="12" t="n">
        <v>999</v>
      </c>
      <c r="R21" s="12" t="n">
        <v>3</v>
      </c>
      <c r="S21" s="14" t="b">
        <f aca="false">TRUE()</f>
        <v>1</v>
      </c>
      <c r="T21" s="12" t="n">
        <v>1</v>
      </c>
      <c r="U21" s="12" t="n">
        <v>1</v>
      </c>
      <c r="V21" s="12" t="n">
        <v>0</v>
      </c>
      <c r="W21" s="12" t="s">
        <v>172</v>
      </c>
      <c r="X21" s="12" t="s">
        <v>173</v>
      </c>
      <c r="Y21" s="12" t="s">
        <v>174</v>
      </c>
      <c r="Z21" s="12" t="n">
        <v>18</v>
      </c>
      <c r="AA21" s="12" t="n">
        <v>0</v>
      </c>
      <c r="AB21" s="12" t="n">
        <v>0.9</v>
      </c>
      <c r="AC21" s="12" t="n">
        <v>3</v>
      </c>
      <c r="AD21" s="12" t="n">
        <v>1</v>
      </c>
      <c r="AE21" s="12" t="n">
        <v>90</v>
      </c>
      <c r="AF21" s="12" t="n">
        <v>0</v>
      </c>
      <c r="AG21" s="12" t="n">
        <v>3.2</v>
      </c>
      <c r="AH21" s="12" t="n">
        <v>0.75</v>
      </c>
      <c r="AI21" s="12" t="n">
        <v>0.28</v>
      </c>
      <c r="AJ21" s="12" t="n">
        <v>0.65</v>
      </c>
      <c r="AK21" s="12" t="n">
        <v>1</v>
      </c>
      <c r="AL21" s="12"/>
      <c r="AM21" s="12"/>
      <c r="AN21" s="14" t="b">
        <f aca="false">FALSE()</f>
        <v>0</v>
      </c>
      <c r="AO21" s="12"/>
      <c r="AP21" s="12" t="n">
        <v>0</v>
      </c>
      <c r="AQ21" s="12" t="n">
        <v>0</v>
      </c>
      <c r="AR21" s="14" t="b">
        <f aca="false">FALSE()</f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5"/>
      <c r="AY21" s="12" t="n">
        <v>5</v>
      </c>
      <c r="AZ21" s="12" t="n">
        <v>9999</v>
      </c>
      <c r="BA21" s="12" t="n">
        <v>1</v>
      </c>
      <c r="BB21" s="12" t="n">
        <v>2</v>
      </c>
      <c r="BC21" s="12" t="n">
        <v>4</v>
      </c>
    </row>
    <row r="23" customFormat="false" ht="18" hidden="false" customHeight="true" outlineLevel="0" collapsed="false">
      <c r="A23" s="16" t="s">
        <v>175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</row>
    <row r="24" customFormat="false" ht="13.5" hidden="false" customHeight="true" outlineLevel="0" collapsed="false">
      <c r="A24" s="17" t="s">
        <v>176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</row>
    <row r="25" customFormat="false" ht="13.5" hidden="false" customHeight="true" outlineLevel="0" collapsed="false">
      <c r="A25" s="18" t="s">
        <v>177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</row>
    <row r="26" customFormat="false" ht="13.5" hidden="false" customHeight="true" outlineLevel="0" collapsed="false">
      <c r="A26" s="19" t="s">
        <v>178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</row>
    <row r="27" customFormat="false" ht="13.5" hidden="false" customHeight="true" outlineLevel="0" collapsed="false">
      <c r="A27" s="19" t="s">
        <v>179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</row>
    <row r="28" customFormat="false" ht="13.5" hidden="false" customHeight="true" outlineLevel="0" collapsed="false">
      <c r="A28" s="19" t="s">
        <v>180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</row>
    <row r="29" customFormat="false" ht="13.5" hidden="false" customHeight="true" outlineLevel="0" collapsed="false">
      <c r="A29" s="19" t="s">
        <v>181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</row>
    <row r="30" customFormat="false" ht="13.5" hidden="false" customHeight="true" outlineLevel="0" collapsed="false">
      <c r="A30" s="19" t="s">
        <v>182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</row>
    <row r="31" customFormat="false" ht="13.5" hidden="false" customHeight="true" outlineLevel="0" collapsed="false">
      <c r="A31" s="19" t="s">
        <v>183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</row>
    <row r="32" customFormat="false" ht="13.5" hidden="false" customHeight="true" outlineLevel="0" collapsed="false">
      <c r="A32" s="19" t="s">
        <v>184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</row>
    <row r="33" customFormat="false" ht="13.5" hidden="false" customHeight="true" outlineLevel="0" collapsed="false">
      <c r="A33" s="19" t="s">
        <v>185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</row>
    <row r="34" customFormat="false" ht="13.5" hidden="false" customHeight="true" outlineLevel="0" collapsed="false">
      <c r="A34" s="19" t="s">
        <v>186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</row>
    <row r="35" customFormat="false" ht="13.5" hidden="false" customHeight="true" outlineLevel="0" collapsed="false">
      <c r="A35" s="20" t="s">
        <v>187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</row>
    <row r="36" customFormat="false" ht="13.5" hidden="false" customHeight="true" outlineLevel="0" collapsed="false">
      <c r="A36" s="20" t="s">
        <v>188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</row>
    <row r="37" customFormat="false" ht="13.5" hidden="false" customHeight="true" outlineLevel="0" collapsed="false">
      <c r="A37" s="20" t="s">
        <v>189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</row>
    <row r="38" customFormat="false" ht="13.5" hidden="false" customHeight="true" outlineLevel="0" collapsed="false">
      <c r="A38" s="21" t="s">
        <v>190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</row>
    <row r="39" customFormat="false" ht="13.5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</row>
    <row r="40" customFormat="false" ht="13.5" hidden="false" customHeight="true" outlineLevel="0" collapsed="false">
      <c r="A40" s="23" t="s">
        <v>191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customFormat="false" ht="13.5" hidden="false" customHeight="true" outlineLevel="0" collapsed="false">
      <c r="A41" s="24" t="s">
        <v>192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</row>
    <row r="42" customFormat="false" ht="13.5" hidden="false" customHeight="true" outlineLevel="0" collapsed="false">
      <c r="A42" s="24" t="s">
        <v>193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</row>
    <row r="43" customFormat="false" ht="13.5" hidden="false" customHeight="true" outlineLevel="0" collapsed="false">
      <c r="A43" s="24" t="s">
        <v>194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</row>
    <row r="44" customFormat="false" ht="13.5" hidden="false" customHeight="true" outlineLevel="0" collapsed="false">
      <c r="A44" s="24" t="s">
        <v>195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</row>
    <row r="45" customFormat="false" ht="13.5" hidden="false" customHeight="true" outlineLevel="0" collapsed="false">
      <c r="A45" s="24" t="s">
        <v>196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</row>
    <row r="46" customFormat="false" ht="13.5" hidden="false" customHeight="true" outlineLevel="0" collapsed="false">
      <c r="A46" s="24" t="s">
        <v>197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</row>
    <row r="47" customFormat="false" ht="13.5" hidden="false" customHeight="true" outlineLevel="0" collapsed="false">
      <c r="A47" s="24" t="s">
        <v>198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</row>
    <row r="48" customFormat="false" ht="13.5" hidden="false" customHeight="true" outlineLevel="0" collapsed="false">
      <c r="A48" s="24" t="s">
        <v>199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</row>
    <row r="49" customFormat="false" ht="13.5" hidden="false" customHeight="true" outlineLevel="0" collapsed="false">
      <c r="A49" s="25" t="s">
        <v>200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</row>
    <row r="50" customFormat="false" ht="13.5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</row>
    <row r="51" customFormat="false" ht="13.5" hidden="false" customHeight="true" outlineLevel="0" collapsed="false">
      <c r="A51" s="26" t="s">
        <v>201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</row>
    <row r="52" customFormat="false" ht="13.5" hidden="false" customHeight="true" outlineLevel="0" collapsed="false">
      <c r="A52" s="27" t="s">
        <v>202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</row>
    <row r="53" customFormat="false" ht="13.5" hidden="false" customHeight="true" outlineLevel="0" collapsed="false">
      <c r="A53" s="27" t="s">
        <v>203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</row>
    <row r="54" customFormat="false" ht="13.5" hidden="false" customHeight="true" outlineLevel="0" collapsed="false">
      <c r="A54" s="27" t="s">
        <v>204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</row>
    <row r="55" customFormat="false" ht="13.5" hidden="false" customHeight="true" outlineLevel="0" collapsed="false">
      <c r="A55" s="28" t="s">
        <v>205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</row>
    <row r="56" customFormat="false" ht="13.5" hidden="false" customHeight="true" outlineLevel="0" collapsed="false">
      <c r="A56" s="27" t="s">
        <v>206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</row>
    <row r="57" customFormat="false" ht="13.5" hidden="false" customHeight="true" outlineLevel="0" collapsed="false">
      <c r="A57" s="27" t="s">
        <v>207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</row>
    <row r="58" customFormat="false" ht="13.5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</row>
    <row r="59" customFormat="false" ht="13.5" hidden="false" customHeight="true" outlineLevel="0" collapsed="false">
      <c r="A59" s="18" t="s">
        <v>208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</row>
    <row r="60" customFormat="false" ht="13.5" hidden="false" customHeight="true" outlineLevel="0" collapsed="false">
      <c r="A60" s="19" t="s">
        <v>209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</row>
    <row r="61" customFormat="false" ht="13.5" hidden="false" customHeight="true" outlineLevel="0" collapsed="false">
      <c r="A61" s="19" t="s">
        <v>210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</row>
    <row r="62" customFormat="false" ht="13.5" hidden="false" customHeight="true" outlineLevel="0" collapsed="false">
      <c r="A62" s="29" t="s">
        <v>211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</row>
    <row r="63" customFormat="false" ht="13.5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</row>
    <row r="64" customFormat="false" ht="13.5" hidden="false" customHeight="true" outlineLevel="0" collapsed="false">
      <c r="A64" s="30" t="s">
        <v>212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</row>
    <row r="65" customFormat="false" ht="13.5" hidden="false" customHeight="true" outlineLevel="0" collapsed="false">
      <c r="A65" s="31" t="s">
        <v>213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customFormat="false" ht="13.5" hidden="false" customHeight="true" outlineLevel="0" collapsed="false">
      <c r="A66" s="31" t="s">
        <v>214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</sheetData>
  <mergeCells count="58">
    <mergeCell ref="A1:I1"/>
    <mergeCell ref="J1:R1"/>
    <mergeCell ref="S1:AM1"/>
    <mergeCell ref="AN1:AQ1"/>
    <mergeCell ref="AR1:AX1"/>
    <mergeCell ref="A3:AX3"/>
    <mergeCell ref="A4:AX4"/>
    <mergeCell ref="A5:AX5"/>
    <mergeCell ref="A6:AX6"/>
    <mergeCell ref="A7:AX7"/>
    <mergeCell ref="A8:AX8"/>
    <mergeCell ref="A9:AX9"/>
    <mergeCell ref="A10:AX10"/>
    <mergeCell ref="A11:AX11"/>
    <mergeCell ref="A23:BC23"/>
    <mergeCell ref="A24:BC24"/>
    <mergeCell ref="A25:BC25"/>
    <mergeCell ref="A26:BC26"/>
    <mergeCell ref="A27:BC27"/>
    <mergeCell ref="A28:BC28"/>
    <mergeCell ref="A29:BC29"/>
    <mergeCell ref="A30:BC30"/>
    <mergeCell ref="A31:BC31"/>
    <mergeCell ref="A32:BC32"/>
    <mergeCell ref="A33:BC33"/>
    <mergeCell ref="A34:BC34"/>
    <mergeCell ref="A35:BC35"/>
    <mergeCell ref="A36:BC36"/>
    <mergeCell ref="A37:BC37"/>
    <mergeCell ref="A38:BC38"/>
    <mergeCell ref="A39:BC39"/>
    <mergeCell ref="A40:BC40"/>
    <mergeCell ref="A41:BC41"/>
    <mergeCell ref="A42:BC42"/>
    <mergeCell ref="A43:BC43"/>
    <mergeCell ref="A44:BC44"/>
    <mergeCell ref="A45:BC45"/>
    <mergeCell ref="A46:BC46"/>
    <mergeCell ref="A47:BC47"/>
    <mergeCell ref="A48:BC48"/>
    <mergeCell ref="A49:BC49"/>
    <mergeCell ref="A50:BC50"/>
    <mergeCell ref="A51:BC51"/>
    <mergeCell ref="A52:BC52"/>
    <mergeCell ref="A53:BC53"/>
    <mergeCell ref="A54:BC54"/>
    <mergeCell ref="A55:BC55"/>
    <mergeCell ref="A56:BC56"/>
    <mergeCell ref="A57:BC57"/>
    <mergeCell ref="A58:BC58"/>
    <mergeCell ref="A59:BC59"/>
    <mergeCell ref="A60:BC60"/>
    <mergeCell ref="A61:BC61"/>
    <mergeCell ref="A62:BC62"/>
    <mergeCell ref="A63:BC63"/>
    <mergeCell ref="A64:BC64"/>
    <mergeCell ref="A65:BC65"/>
    <mergeCell ref="A66:BC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2026-03-11T14:03:47Z</dcterms:created>
  <dc:creator>openpyxl</dc:creator>
  <dc:description/>
  <dc:language>en-US</dc:language>
  <cp:lastModifiedBy/>
  <dcterms:modified xsi:type="dcterms:W3CDTF">2026-03-21T20:28:43Z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